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" sheetId="1" r:id="rId4"/>
    <sheet state="visible" name="Schedule" sheetId="2" r:id="rId5"/>
  </sheets>
  <definedNames/>
  <calcPr/>
</workbook>
</file>

<file path=xl/sharedStrings.xml><?xml version="1.0" encoding="utf-8"?>
<sst xmlns="http://schemas.openxmlformats.org/spreadsheetml/2006/main" count="81" uniqueCount="50">
  <si>
    <t>Challenge</t>
  </si>
  <si>
    <t>9:00 - 10:00</t>
  </si>
  <si>
    <t>Team ID</t>
  </si>
  <si>
    <t>Team Name</t>
  </si>
  <si>
    <t>Slot</t>
  </si>
  <si>
    <t>functionality</t>
  </si>
  <si>
    <t>complexity in data</t>
  </si>
  <si>
    <t>complexity in design</t>
  </si>
  <si>
    <t>design</t>
  </si>
  <si>
    <t>Total</t>
  </si>
  <si>
    <t>PSIFI-240</t>
  </si>
  <si>
    <t>Aitchison College Team G</t>
  </si>
  <si>
    <t>done</t>
  </si>
  <si>
    <t>PSIFI-073</t>
  </si>
  <si>
    <t>Team hi-fi</t>
  </si>
  <si>
    <t>PSIFI-062</t>
  </si>
  <si>
    <t>WARRIORS</t>
  </si>
  <si>
    <t>PSIFI-314</t>
  </si>
  <si>
    <t>JT Team A</t>
  </si>
  <si>
    <t>PSIFI-208</t>
  </si>
  <si>
    <t>ISL PA Team D</t>
  </si>
  <si>
    <t>PSIFI-025</t>
  </si>
  <si>
    <t>The Minions Co.</t>
  </si>
  <si>
    <t>PSIFI-231</t>
  </si>
  <si>
    <t>Cerebral syndicate</t>
  </si>
  <si>
    <t>PSIFI-279</t>
  </si>
  <si>
    <t>ISL RR Team Q</t>
  </si>
  <si>
    <t>PSIFI-171</t>
  </si>
  <si>
    <t>Team Lynx</t>
  </si>
  <si>
    <t>PSIFI-244</t>
  </si>
  <si>
    <t>Akilala</t>
  </si>
  <si>
    <t>PSIFI-266</t>
  </si>
  <si>
    <t>ISL RR Team W</t>
  </si>
  <si>
    <t>PSIFI-256</t>
  </si>
  <si>
    <t>ISL RR Team H</t>
  </si>
  <si>
    <t>PSIFI-302</t>
  </si>
  <si>
    <t>JT Team V</t>
  </si>
  <si>
    <t>PSIFI-218</t>
  </si>
  <si>
    <t>ISL RR Team X</t>
  </si>
  <si>
    <t>PSIFI-242</t>
  </si>
  <si>
    <t>chudlings</t>
  </si>
  <si>
    <t>PSIFI-262</t>
  </si>
  <si>
    <t>3 idiots</t>
  </si>
  <si>
    <t>not done</t>
  </si>
  <si>
    <t>PSIFI-028</t>
  </si>
  <si>
    <t>The Thinkaneers</t>
  </si>
  <si>
    <t>Submitted</t>
  </si>
  <si>
    <t>yes</t>
  </si>
  <si>
    <t>yse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</si>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</sst>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 am/pm"/>
  </numFmts>
  <fonts count="4">
    <font>
      <sz val="10.0"/>
      <color rgb="FF000000"/>
      <name val="Arial"/>
      <scheme val="minor"/>
    </font>
    <font>
      <sz val="12.0"/>
      <color theme="1"/>
      <name val="Times New Roman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vertical="bottom"/>
    </xf>
    <xf borderId="0" fillId="2" fontId="2" numFmtId="0" xfId="0" applyAlignment="1" applyFont="1">
      <alignment readingOrder="0"/>
    </xf>
    <xf borderId="0" fillId="2" fontId="2" numFmtId="0" xfId="0" applyFont="1"/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2" fillId="0" fontId="2" numFmtId="0" xfId="0" applyAlignment="1" applyBorder="1" applyFont="1">
      <alignment readingOrder="0"/>
    </xf>
    <xf borderId="2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</cols>
  <sheetData>
    <row r="1">
      <c r="A1" s="1"/>
      <c r="B1" s="1"/>
    </row>
    <row r="2">
      <c r="A2" s="1"/>
      <c r="B2" s="2" t="s">
        <v>0</v>
      </c>
      <c r="C2" s="3" t="s">
        <v>1</v>
      </c>
    </row>
    <row r="3">
      <c r="A3" s="4" t="s">
        <v>2</v>
      </c>
      <c r="B3" s="4" t="s">
        <v>3</v>
      </c>
      <c r="C3" s="5" t="s">
        <v>4</v>
      </c>
      <c r="D3" s="6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10</v>
      </c>
      <c r="B4" s="8" t="s">
        <v>11</v>
      </c>
      <c r="C4" s="3">
        <v>1.0</v>
      </c>
      <c r="D4" s="9" t="s">
        <v>12</v>
      </c>
      <c r="E4" s="3">
        <v>10.0</v>
      </c>
      <c r="F4" s="3">
        <v>10.0</v>
      </c>
      <c r="G4" s="3">
        <v>9.0</v>
      </c>
      <c r="H4" s="3">
        <v>9.0</v>
      </c>
      <c r="I4" s="7">
        <f t="shared" ref="I4:I20" si="1">SUM(D4:H4)</f>
        <v>38</v>
      </c>
      <c r="J4" s="8"/>
    </row>
    <row r="5">
      <c r="A5" s="7" t="s">
        <v>13</v>
      </c>
      <c r="B5" s="8" t="s">
        <v>14</v>
      </c>
      <c r="C5" s="3">
        <v>2.0</v>
      </c>
      <c r="D5" s="9" t="s">
        <v>12</v>
      </c>
      <c r="E5" s="3">
        <v>5.0</v>
      </c>
      <c r="F5" s="3">
        <v>3.0</v>
      </c>
      <c r="G5" s="3">
        <v>7.0</v>
      </c>
      <c r="H5" s="3">
        <v>5.0</v>
      </c>
      <c r="I5" s="7">
        <f t="shared" si="1"/>
        <v>20</v>
      </c>
      <c r="J5" s="10"/>
    </row>
    <row r="6">
      <c r="A6" s="11" t="s">
        <v>15</v>
      </c>
      <c r="B6" s="11" t="s">
        <v>16</v>
      </c>
      <c r="C6" s="3">
        <v>3.0</v>
      </c>
      <c r="D6" s="9" t="s">
        <v>12</v>
      </c>
      <c r="E6" s="3">
        <v>10.0</v>
      </c>
      <c r="F6" s="3">
        <v>11.0</v>
      </c>
      <c r="G6" s="3">
        <v>10.0</v>
      </c>
      <c r="H6" s="3">
        <v>9.0</v>
      </c>
      <c r="I6" s="7">
        <f t="shared" si="1"/>
        <v>40</v>
      </c>
      <c r="J6" s="10"/>
    </row>
    <row r="7">
      <c r="A7" s="7" t="s">
        <v>17</v>
      </c>
      <c r="B7" s="8" t="s">
        <v>18</v>
      </c>
      <c r="C7" s="3">
        <v>4.0</v>
      </c>
      <c r="D7" s="9" t="s">
        <v>12</v>
      </c>
      <c r="E7" s="3">
        <v>11.0</v>
      </c>
      <c r="F7" s="3">
        <v>11.0</v>
      </c>
      <c r="G7" s="3">
        <v>11.0</v>
      </c>
      <c r="H7" s="3">
        <v>10.0</v>
      </c>
      <c r="I7" s="7">
        <f t="shared" si="1"/>
        <v>43</v>
      </c>
      <c r="J7" s="10"/>
    </row>
    <row r="8">
      <c r="A8" s="8" t="s">
        <v>19</v>
      </c>
      <c r="B8" s="8" t="s">
        <v>20</v>
      </c>
      <c r="C8" s="3">
        <v>5.0</v>
      </c>
      <c r="D8" s="9" t="s">
        <v>12</v>
      </c>
      <c r="E8" s="3">
        <v>10.0</v>
      </c>
      <c r="F8" s="3">
        <v>10.0</v>
      </c>
      <c r="G8" s="3">
        <v>9.5</v>
      </c>
      <c r="H8" s="3">
        <v>9.0</v>
      </c>
      <c r="I8" s="7">
        <f t="shared" si="1"/>
        <v>38.5</v>
      </c>
      <c r="J8" s="10"/>
    </row>
    <row r="9">
      <c r="A9" s="8" t="s">
        <v>21</v>
      </c>
      <c r="B9" s="8" t="s">
        <v>22</v>
      </c>
      <c r="C9" s="3">
        <v>6.0</v>
      </c>
      <c r="D9" s="9" t="s">
        <v>12</v>
      </c>
      <c r="E9" s="3">
        <v>6.0</v>
      </c>
      <c r="F9" s="3">
        <v>5.0</v>
      </c>
      <c r="G9" s="3">
        <v>8.0</v>
      </c>
      <c r="H9" s="3">
        <v>8.0</v>
      </c>
      <c r="I9" s="7">
        <f t="shared" si="1"/>
        <v>27</v>
      </c>
      <c r="J9" s="10"/>
    </row>
    <row r="10">
      <c r="A10" s="7" t="s">
        <v>23</v>
      </c>
      <c r="B10" s="8" t="s">
        <v>24</v>
      </c>
      <c r="C10" s="3">
        <v>7.0</v>
      </c>
      <c r="D10" s="9" t="s">
        <v>12</v>
      </c>
      <c r="E10" s="3">
        <v>9.0</v>
      </c>
      <c r="F10" s="3">
        <v>10.0</v>
      </c>
      <c r="G10" s="3">
        <v>9.0</v>
      </c>
      <c r="H10" s="3">
        <v>10.0</v>
      </c>
      <c r="I10" s="7">
        <f t="shared" si="1"/>
        <v>38</v>
      </c>
      <c r="J10" s="10"/>
    </row>
    <row r="11">
      <c r="A11" s="7" t="s">
        <v>25</v>
      </c>
      <c r="B11" s="8" t="s">
        <v>26</v>
      </c>
      <c r="C11" s="3">
        <v>8.0</v>
      </c>
      <c r="D11" s="9" t="s">
        <v>12</v>
      </c>
      <c r="E11" s="3">
        <v>8.0</v>
      </c>
      <c r="F11" s="3">
        <v>6.0</v>
      </c>
      <c r="G11" s="3">
        <v>7.0</v>
      </c>
      <c r="H11" s="3">
        <v>8.0</v>
      </c>
      <c r="I11" s="7">
        <f t="shared" si="1"/>
        <v>29</v>
      </c>
      <c r="J11" s="10"/>
    </row>
    <row r="12">
      <c r="A12" s="8" t="s">
        <v>27</v>
      </c>
      <c r="B12" s="8" t="s">
        <v>28</v>
      </c>
      <c r="C12" s="3">
        <v>9.0</v>
      </c>
      <c r="D12" s="9" t="s">
        <v>12</v>
      </c>
      <c r="E12" s="3">
        <v>10.0</v>
      </c>
      <c r="F12" s="3">
        <v>9.0</v>
      </c>
      <c r="G12" s="3">
        <v>10.0</v>
      </c>
      <c r="H12" s="3">
        <v>10.0</v>
      </c>
      <c r="I12" s="7">
        <f t="shared" si="1"/>
        <v>39</v>
      </c>
      <c r="J12" s="10"/>
    </row>
    <row r="13">
      <c r="A13" s="7" t="s">
        <v>29</v>
      </c>
      <c r="B13" s="8" t="s">
        <v>30</v>
      </c>
      <c r="C13" s="3">
        <v>10.0</v>
      </c>
      <c r="D13" s="9" t="s">
        <v>12</v>
      </c>
      <c r="E13" s="3">
        <v>8.0</v>
      </c>
      <c r="F13" s="3">
        <v>8.0</v>
      </c>
      <c r="G13" s="3">
        <v>8.5</v>
      </c>
      <c r="H13" s="3">
        <v>8.5</v>
      </c>
      <c r="I13" s="7">
        <f t="shared" si="1"/>
        <v>33</v>
      </c>
      <c r="J13" s="10"/>
    </row>
    <row r="14">
      <c r="A14" s="7" t="s">
        <v>31</v>
      </c>
      <c r="B14" s="8" t="s">
        <v>32</v>
      </c>
      <c r="C14" s="3">
        <v>11.0</v>
      </c>
      <c r="D14" s="9" t="s">
        <v>12</v>
      </c>
      <c r="E14" s="3">
        <v>10.0</v>
      </c>
      <c r="F14" s="3">
        <v>10.0</v>
      </c>
      <c r="G14" s="3">
        <v>9.0</v>
      </c>
      <c r="H14" s="3">
        <v>10.0</v>
      </c>
      <c r="I14" s="7">
        <f t="shared" si="1"/>
        <v>39</v>
      </c>
      <c r="J14" s="10"/>
    </row>
    <row r="15">
      <c r="A15" s="11" t="s">
        <v>33</v>
      </c>
      <c r="B15" s="11" t="s">
        <v>34</v>
      </c>
      <c r="C15" s="3">
        <v>12.0</v>
      </c>
      <c r="D15" s="9" t="s">
        <v>12</v>
      </c>
      <c r="E15" s="3">
        <v>10.0</v>
      </c>
      <c r="F15" s="3">
        <v>9.0</v>
      </c>
      <c r="G15" s="3">
        <v>8.0</v>
      </c>
      <c r="H15" s="3">
        <v>8.0</v>
      </c>
      <c r="I15" s="7">
        <f t="shared" si="1"/>
        <v>35</v>
      </c>
      <c r="J15" s="10"/>
    </row>
    <row r="16">
      <c r="A16" s="7" t="s">
        <v>35</v>
      </c>
      <c r="B16" s="8" t="s">
        <v>36</v>
      </c>
      <c r="C16" s="3">
        <v>13.0</v>
      </c>
      <c r="D16" s="9" t="s">
        <v>12</v>
      </c>
      <c r="E16" s="3">
        <v>8.0</v>
      </c>
      <c r="F16" s="3">
        <v>6.0</v>
      </c>
      <c r="G16" s="3">
        <v>7.0</v>
      </c>
      <c r="H16" s="3">
        <v>7.0</v>
      </c>
      <c r="I16" s="7">
        <f t="shared" si="1"/>
        <v>28</v>
      </c>
      <c r="J16" s="10"/>
    </row>
    <row r="17">
      <c r="A17" s="7" t="s">
        <v>37</v>
      </c>
      <c r="B17" s="7" t="s">
        <v>38</v>
      </c>
      <c r="C17" s="3">
        <v>14.0</v>
      </c>
      <c r="D17" s="9" t="s">
        <v>12</v>
      </c>
      <c r="E17" s="3">
        <v>9.0</v>
      </c>
      <c r="F17" s="3">
        <v>9.0</v>
      </c>
      <c r="G17" s="3">
        <v>11.0</v>
      </c>
      <c r="H17" s="3">
        <v>10.0</v>
      </c>
      <c r="I17" s="7">
        <f t="shared" si="1"/>
        <v>39</v>
      </c>
      <c r="J17" s="10"/>
    </row>
    <row r="18">
      <c r="A18" s="7" t="s">
        <v>39</v>
      </c>
      <c r="B18" s="8" t="s">
        <v>40</v>
      </c>
      <c r="C18" s="3">
        <v>15.0</v>
      </c>
      <c r="D18" s="9" t="s">
        <v>12</v>
      </c>
      <c r="E18" s="3">
        <v>10.0</v>
      </c>
      <c r="F18" s="3">
        <v>10.0</v>
      </c>
      <c r="G18" s="3">
        <v>10.0</v>
      </c>
      <c r="H18" s="3">
        <v>9.5</v>
      </c>
      <c r="I18" s="7">
        <f t="shared" si="1"/>
        <v>39.5</v>
      </c>
      <c r="J18" s="10"/>
    </row>
    <row r="19">
      <c r="A19" s="11" t="s">
        <v>41</v>
      </c>
      <c r="B19" s="11" t="s">
        <v>42</v>
      </c>
      <c r="C19" s="3">
        <v>16.0</v>
      </c>
      <c r="D19" s="12" t="s">
        <v>43</v>
      </c>
      <c r="E19" s="3">
        <v>0.0</v>
      </c>
      <c r="F19" s="3">
        <v>0.0</v>
      </c>
      <c r="G19" s="3">
        <v>0.0</v>
      </c>
      <c r="H19" s="3">
        <v>0.0</v>
      </c>
      <c r="I19" s="7">
        <f t="shared" si="1"/>
        <v>0</v>
      </c>
      <c r="J19" s="10"/>
    </row>
    <row r="20" ht="25.5" customHeight="1">
      <c r="A20" s="11" t="s">
        <v>44</v>
      </c>
      <c r="B20" s="11" t="s">
        <v>45</v>
      </c>
      <c r="C20" s="3">
        <v>17.0</v>
      </c>
      <c r="D20" s="12" t="s">
        <v>43</v>
      </c>
      <c r="E20" s="3">
        <v>0.0</v>
      </c>
      <c r="F20" s="3">
        <v>0.0</v>
      </c>
      <c r="G20" s="3">
        <v>0.0</v>
      </c>
      <c r="H20" s="3">
        <v>0.0</v>
      </c>
      <c r="I20" s="7">
        <f t="shared" si="1"/>
        <v>0</v>
      </c>
      <c r="J2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18.25"/>
    <col customWidth="1" min="5" max="5" width="23.25"/>
  </cols>
  <sheetData>
    <row r="1">
      <c r="A1" s="4" t="s">
        <v>2</v>
      </c>
      <c r="B1" s="4" t="s">
        <v>3</v>
      </c>
      <c r="C1" s="5" t="s">
        <v>46</v>
      </c>
      <c r="D1" s="5"/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tr">
        <f>Internal!A4</f>
        <v>PSIFI-240</v>
      </c>
      <c r="B2" s="8" t="str">
        <f>Internal!B4</f>
        <v>Aitchison College Team G</v>
      </c>
      <c r="C2" s="13" t="s">
        <v>47</v>
      </c>
      <c r="D2" s="8"/>
      <c r="E2" s="14"/>
    </row>
    <row r="3">
      <c r="A3" s="8" t="str">
        <f>Internal!A5</f>
        <v>PSIFI-073</v>
      </c>
      <c r="B3" s="8" t="str">
        <f>Internal!B5</f>
        <v>Team hi-fi</v>
      </c>
      <c r="C3" s="13" t="s">
        <v>47</v>
      </c>
      <c r="D3" s="8"/>
      <c r="E3" s="14"/>
    </row>
    <row r="4">
      <c r="A4" s="8" t="str">
        <f>Internal!A6</f>
        <v>PSIFI-062</v>
      </c>
      <c r="B4" s="8" t="str">
        <f>Internal!B6</f>
        <v>WARRIORS</v>
      </c>
      <c r="C4" s="13" t="s">
        <v>47</v>
      </c>
      <c r="D4" s="8"/>
      <c r="E4" s="14"/>
    </row>
    <row r="5">
      <c r="A5" s="8" t="str">
        <f>Internal!A7</f>
        <v>PSIFI-314</v>
      </c>
      <c r="B5" s="8" t="str">
        <f>Internal!B7</f>
        <v>JT Team A</v>
      </c>
      <c r="C5" s="13" t="s">
        <v>47</v>
      </c>
      <c r="D5" s="8"/>
      <c r="E5" s="14"/>
    </row>
    <row r="6">
      <c r="A6" s="8" t="str">
        <f>Internal!A8</f>
        <v>PSIFI-208</v>
      </c>
      <c r="B6" s="8" t="str">
        <f>Internal!B8</f>
        <v>ISL PA Team D</v>
      </c>
      <c r="C6" s="13" t="s">
        <v>47</v>
      </c>
      <c r="D6" s="8"/>
      <c r="E6" s="14"/>
    </row>
    <row r="7">
      <c r="A7" s="8" t="str">
        <f>Internal!A9</f>
        <v>PSIFI-025</v>
      </c>
      <c r="B7" s="8" t="str">
        <f>Internal!B9</f>
        <v>The Minions Co.</v>
      </c>
      <c r="C7" s="13" t="s">
        <v>47</v>
      </c>
      <c r="D7" s="8"/>
      <c r="E7" s="14"/>
    </row>
    <row r="8">
      <c r="A8" s="8" t="str">
        <f>Internal!A10</f>
        <v>PSIFI-231</v>
      </c>
      <c r="B8" s="8" t="str">
        <f>Internal!B10</f>
        <v>Cerebral syndicate</v>
      </c>
      <c r="C8" s="13" t="s">
        <v>47</v>
      </c>
      <c r="D8" s="8"/>
      <c r="E8" s="14"/>
    </row>
    <row r="9">
      <c r="A9" s="8" t="str">
        <f>Internal!A11</f>
        <v>PSIFI-279</v>
      </c>
      <c r="B9" s="8" t="str">
        <f>Internal!B11</f>
        <v>ISL RR Team Q</v>
      </c>
      <c r="C9" s="13" t="s">
        <v>47</v>
      </c>
      <c r="D9" s="8"/>
      <c r="E9" s="14"/>
    </row>
    <row r="10">
      <c r="A10" s="8" t="str">
        <f>Internal!A12</f>
        <v>PSIFI-171</v>
      </c>
      <c r="B10" s="8" t="str">
        <f>Internal!B12</f>
        <v>Team Lynx</v>
      </c>
      <c r="C10" s="13" t="s">
        <v>47</v>
      </c>
      <c r="D10" s="8"/>
      <c r="E10" s="14"/>
    </row>
    <row r="11">
      <c r="A11" s="8" t="str">
        <f>Internal!A13</f>
        <v>PSIFI-244</v>
      </c>
      <c r="B11" s="8" t="str">
        <f>Internal!B13</f>
        <v>Akilala</v>
      </c>
      <c r="C11" s="13" t="s">
        <v>48</v>
      </c>
      <c r="D11" s="8"/>
      <c r="E11" s="14"/>
    </row>
    <row r="12">
      <c r="A12" s="8" t="str">
        <f>Internal!A14</f>
        <v>PSIFI-266</v>
      </c>
      <c r="B12" s="8" t="str">
        <f>Internal!B14</f>
        <v>ISL RR Team W</v>
      </c>
      <c r="C12" s="13" t="s">
        <v>47</v>
      </c>
      <c r="D12" s="8"/>
      <c r="E12" s="14"/>
    </row>
    <row r="13">
      <c r="A13" s="8" t="str">
        <f>Internal!A15</f>
        <v>PSIFI-256</v>
      </c>
      <c r="B13" s="8" t="str">
        <f>Internal!B15</f>
        <v>ISL RR Team H</v>
      </c>
      <c r="C13" s="13" t="s">
        <v>47</v>
      </c>
      <c r="D13" s="8"/>
      <c r="E13" s="14"/>
    </row>
    <row r="14">
      <c r="A14" s="8" t="str">
        <f>Internal!A16</f>
        <v>PSIFI-302</v>
      </c>
      <c r="B14" s="8" t="str">
        <f>Internal!B16</f>
        <v>JT Team V</v>
      </c>
      <c r="C14" s="13" t="s">
        <v>47</v>
      </c>
      <c r="D14" s="8"/>
      <c r="E14" s="14"/>
    </row>
    <row r="15">
      <c r="A15" s="8" t="str">
        <f>Internal!A17</f>
        <v>PSIFI-218</v>
      </c>
      <c r="B15" s="8" t="str">
        <f>Internal!B17</f>
        <v>ISL RR Team X</v>
      </c>
      <c r="C15" s="13" t="s">
        <v>47</v>
      </c>
      <c r="D15" s="8"/>
      <c r="E15" s="14"/>
    </row>
    <row r="16">
      <c r="A16" s="8" t="str">
        <f>Internal!A18</f>
        <v>PSIFI-242</v>
      </c>
      <c r="B16" s="8" t="str">
        <f>Internal!B18</f>
        <v>chudlings</v>
      </c>
      <c r="C16" s="13" t="s">
        <v>47</v>
      </c>
      <c r="D16" s="8"/>
      <c r="E16" s="14"/>
    </row>
    <row r="17">
      <c r="A17" s="8" t="str">
        <f>Internal!A19</f>
        <v>PSIFI-262</v>
      </c>
      <c r="B17" s="8" t="str">
        <f>Internal!B19</f>
        <v>3 idiots</v>
      </c>
      <c r="C17" s="13" t="s">
        <v>49</v>
      </c>
      <c r="D17" s="8"/>
      <c r="E17" s="14"/>
    </row>
    <row r="18">
      <c r="A18" s="8" t="str">
        <f>Internal!A20</f>
        <v>PSIFI-028</v>
      </c>
      <c r="B18" s="8" t="str">
        <f>Internal!B20</f>
        <v>The Thinkaneers</v>
      </c>
      <c r="C18" s="13" t="s">
        <v>49</v>
      </c>
      <c r="D18" s="8"/>
      <c r="E18" s="14"/>
    </row>
  </sheetData>
  <drawing r:id="rId1"/>
</worksheet>
</file>